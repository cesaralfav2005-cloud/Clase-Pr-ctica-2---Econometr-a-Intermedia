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faroVillalobos\Documents\CLASES UNIVERSITARIAS - IEN\ECONOMETRÍA RSTUDIO\Econometria tarea 2\"/>
    </mc:Choice>
  </mc:AlternateContent>
  <bookViews>
    <workbookView xWindow="0" yWindow="0" windowWidth="23040" windowHeight="8688"/>
  </bookViews>
  <sheets>
    <sheet name="Hoja1" sheetId="1" r:id="rId1"/>
  </sheets>
  <externalReferences>
    <externalReference r:id="rId2"/>
    <externalReference r:id="rId3"/>
    <externalReference r:id="rId4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5" i="1" l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66" i="1" l="1"/>
  <c r="B67" i="1"/>
  <c r="B68" i="1"/>
  <c r="B69" i="1"/>
  <c r="B74" i="1"/>
  <c r="B73" i="1" s="1"/>
  <c r="B72" i="1" s="1"/>
  <c r="B71" i="1" s="1"/>
  <c r="B70" i="1" s="1"/>
</calcChain>
</file>

<file path=xl/sharedStrings.xml><?xml version="1.0" encoding="utf-8"?>
<sst xmlns="http://schemas.openxmlformats.org/spreadsheetml/2006/main" count="76" uniqueCount="76">
  <si>
    <t>OBSERVACION</t>
  </si>
  <si>
    <t>TIPO DE CAMBIO NIC</t>
  </si>
  <si>
    <t>2007-I</t>
  </si>
  <si>
    <t>2007-II</t>
  </si>
  <si>
    <t>2007-III</t>
  </si>
  <si>
    <t>2007-IV</t>
  </si>
  <si>
    <t>2008-I</t>
  </si>
  <si>
    <t>2008-II</t>
  </si>
  <si>
    <t>2008-III</t>
  </si>
  <si>
    <t>2008-IV</t>
  </si>
  <si>
    <t>2009-I</t>
  </si>
  <si>
    <t>2009-II</t>
  </si>
  <si>
    <t>2009-III</t>
  </si>
  <si>
    <t>2009-IV</t>
  </si>
  <si>
    <t>2010-I</t>
  </si>
  <si>
    <t>2010-II</t>
  </si>
  <si>
    <t>2010-III</t>
  </si>
  <si>
    <t>2010-IV</t>
  </si>
  <si>
    <t>2011-I</t>
  </si>
  <si>
    <t>2011-II</t>
  </si>
  <si>
    <t>2011-III</t>
  </si>
  <si>
    <t>2011-IV</t>
  </si>
  <si>
    <t>2012-I</t>
  </si>
  <si>
    <t>2012-II</t>
  </si>
  <si>
    <t>2012-III</t>
  </si>
  <si>
    <t>2012-IV</t>
  </si>
  <si>
    <t>2013-I</t>
  </si>
  <si>
    <t>2013-II</t>
  </si>
  <si>
    <t>2013-III</t>
  </si>
  <si>
    <t>2013-IV</t>
  </si>
  <si>
    <t>2014-I</t>
  </si>
  <si>
    <t>2014-II</t>
  </si>
  <si>
    <t>2014-III</t>
  </si>
  <si>
    <t>2014-IV</t>
  </si>
  <si>
    <t>2015-I</t>
  </si>
  <si>
    <t>2015-II</t>
  </si>
  <si>
    <t>2015-III</t>
  </si>
  <si>
    <t>2015-IV</t>
  </si>
  <si>
    <t>2016-I</t>
  </si>
  <si>
    <t>2016-II</t>
  </si>
  <si>
    <t>2016-III</t>
  </si>
  <si>
    <t>2016-IV</t>
  </si>
  <si>
    <t>2017-I</t>
  </si>
  <si>
    <t>2017-II</t>
  </si>
  <si>
    <t>2017-III</t>
  </si>
  <si>
    <t>2017-IV</t>
  </si>
  <si>
    <t>2018-I</t>
  </si>
  <si>
    <t>2018-II</t>
  </si>
  <si>
    <t>2018-III</t>
  </si>
  <si>
    <t>2018-IV</t>
  </si>
  <si>
    <t>2019-I</t>
  </si>
  <si>
    <t>2019-II</t>
  </si>
  <si>
    <t>2019-III</t>
  </si>
  <si>
    <t>2019-IV</t>
  </si>
  <si>
    <t>2020-I</t>
  </si>
  <si>
    <t>2020-II</t>
  </si>
  <si>
    <t>2020-III</t>
  </si>
  <si>
    <t>2020-IV</t>
  </si>
  <si>
    <t>2021-I</t>
  </si>
  <si>
    <t>2021-II</t>
  </si>
  <si>
    <t>2021-III</t>
  </si>
  <si>
    <t>2021-IV</t>
  </si>
  <si>
    <t>2022-I</t>
  </si>
  <si>
    <t>2022-II</t>
  </si>
  <si>
    <t>2022-III</t>
  </si>
  <si>
    <t>2022-IV</t>
  </si>
  <si>
    <t>2023-I</t>
  </si>
  <si>
    <t>2023-II</t>
  </si>
  <si>
    <t>2023-III</t>
  </si>
  <si>
    <t>2023-IV</t>
  </si>
  <si>
    <t>2024-I</t>
  </si>
  <si>
    <t>2024-II</t>
  </si>
  <si>
    <t>2024-III</t>
  </si>
  <si>
    <t>2024-IV</t>
  </si>
  <si>
    <t>2025-I</t>
  </si>
  <si>
    <t>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</si>
</sst>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faroVillalobos/Downloads/1.23.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faroVillalobos/Downloads/IO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faroVillalobos/Downloads/HOLA%20JI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23.1"/>
    </sheetNames>
    <sheetDataSet>
      <sheetData sheetId="0">
        <row r="21">
          <cell r="O21">
            <v>18.1128</v>
          </cell>
          <cell r="P21">
            <v>18.333200000000001</v>
          </cell>
          <cell r="Q21">
            <v>18.5596</v>
          </cell>
          <cell r="R21">
            <v>18.788499999999999</v>
          </cell>
        </row>
        <row r="22">
          <cell r="O22">
            <v>19.019300000000001</v>
          </cell>
          <cell r="P22">
            <v>19.2515</v>
          </cell>
          <cell r="Q22">
            <v>19.488600000000002</v>
          </cell>
          <cell r="R22">
            <v>19.728200000000001</v>
          </cell>
        </row>
        <row r="23">
          <cell r="O23">
            <v>19.9693</v>
          </cell>
          <cell r="P23">
            <v>20.212299999999999</v>
          </cell>
          <cell r="Q23">
            <v>20.462</v>
          </cell>
          <cell r="R23">
            <v>20.728100000000001</v>
          </cell>
        </row>
        <row r="24">
          <cell r="O24">
            <v>20.967700000000001</v>
          </cell>
          <cell r="P24">
            <v>21.222999999999999</v>
          </cell>
          <cell r="Q24">
            <v>21.485099999999999</v>
          </cell>
          <cell r="R24">
            <v>21.75</v>
          </cell>
        </row>
        <row r="25">
          <cell r="O25">
            <v>22.016100000000002</v>
          </cell>
          <cell r="P25">
            <v>22.284099999999999</v>
          </cell>
          <cell r="Q25">
            <v>22.5593</v>
          </cell>
          <cell r="R25">
            <v>22.837800000000001</v>
          </cell>
        </row>
        <row r="26">
          <cell r="O26">
            <v>23.118099999999998</v>
          </cell>
          <cell r="P26">
            <v>23.400300000000001</v>
          </cell>
          <cell r="Q26">
            <v>23.688500000000001</v>
          </cell>
          <cell r="R26">
            <v>23.979700000000001</v>
          </cell>
        </row>
        <row r="27">
          <cell r="O27">
            <v>24.273333333333337</v>
          </cell>
          <cell r="P27">
            <v>24.570000000000004</v>
          </cell>
          <cell r="Q27">
            <v>24.87</v>
          </cell>
          <cell r="R27">
            <v>25.179999999999996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34">
          <cell r="BX34">
            <v>29.503759139784943</v>
          </cell>
          <cell r="CD34">
            <v>29.862852365591394</v>
          </cell>
          <cell r="CJ34">
            <v>30.231701218637994</v>
          </cell>
          <cell r="CP34">
            <v>30.604410071684583</v>
          </cell>
          <cell r="CT34">
            <v>30.978949001536098</v>
          </cell>
          <cell r="DA34">
            <v>31.355995304659501</v>
          </cell>
          <cell r="DH34">
            <v>31.743283799283159</v>
          </cell>
          <cell r="DN34">
            <v>32.134638387096778</v>
          </cell>
          <cell r="DU34">
            <v>32.527896390168969</v>
          </cell>
          <cell r="DZ34">
            <v>32.923795448028677</v>
          </cell>
          <cell r="EE34">
            <v>33.330449139784946</v>
          </cell>
          <cell r="EK34">
            <v>33.704833548387093</v>
          </cell>
          <cell r="ER34">
            <v>33.964080867630699</v>
          </cell>
          <cell r="EX34">
            <v>34.214616129032258</v>
          </cell>
          <cell r="FC34">
            <v>34.469320645161297</v>
          </cell>
          <cell r="FI34">
            <v>34.720506093189961</v>
          </cell>
          <cell r="FP34">
            <v>34.910565668202764</v>
          </cell>
          <cell r="FU34">
            <v>35.082394838709675</v>
          </cell>
          <cell r="FZ34">
            <v>35.257627992831544</v>
          </cell>
          <cell r="GF34">
            <v>35.433410501792117</v>
          </cell>
          <cell r="GM34">
            <v>35.608777841781865</v>
          </cell>
          <cell r="GT34">
            <v>35.784047634408601</v>
          </cell>
          <cell r="GY34">
            <v>35.962783189964163</v>
          </cell>
          <cell r="HF34">
            <v>36.142077921146949</v>
          </cell>
        </row>
        <row r="35">
          <cell r="AB35">
            <v>26.760779761904757</v>
          </cell>
          <cell r="AH35">
            <v>27.086492831541221</v>
          </cell>
          <cell r="AN35">
            <v>27.421037849462369</v>
          </cell>
          <cell r="AT35">
            <v>27.759106989247311</v>
          </cell>
        </row>
        <row r="36">
          <cell r="C36">
            <v>25.486464477726575</v>
          </cell>
          <cell r="J36">
            <v>25.796656523297489</v>
          </cell>
          <cell r="P36">
            <v>26.115273046594979</v>
          </cell>
          <cell r="V36">
            <v>26.437239677419356</v>
          </cell>
          <cell r="AZ36">
            <v>28.100226362625136</v>
          </cell>
          <cell r="BF36">
            <v>28.443192867383516</v>
          </cell>
          <cell r="BL36">
            <v>28.793534695340508</v>
          </cell>
          <cell r="BR36">
            <v>29.147540716845871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34">
          <cell r="I34">
            <v>36.301820545314904</v>
          </cell>
          <cell r="O34">
            <v>36.396400071684589</v>
          </cell>
          <cell r="U34">
            <v>36.487630537634409</v>
          </cell>
          <cell r="Z34">
            <v>36.578923799283153</v>
          </cell>
        </row>
        <row r="35">
          <cell r="AM35">
            <v>36.62429999999997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"/>
  <sheetViews>
    <sheetView tabSelected="1" workbookViewId="0">
      <selection activeCell="D69" sqref="D69"/>
    </sheetView>
  </sheetViews>
  <sheetFormatPr baseColWidth="10" defaultRowHeight="14.4" x14ac:dyDescent="0.3"/>
  <cols>
    <col min="1" max="1" width="16.21875" customWidth="1"/>
    <col min="2" max="2" width="23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>
        <f>'[1]1.23.1'!$O$21</f>
        <v>18.1128</v>
      </c>
    </row>
    <row r="3" spans="1:2" x14ac:dyDescent="0.3">
      <c r="A3" s="2" t="s">
        <v>3</v>
      </c>
      <c r="B3" s="3">
        <f>'[1]1.23.1'!$P$21</f>
        <v>18.333200000000001</v>
      </c>
    </row>
    <row r="4" spans="1:2" x14ac:dyDescent="0.3">
      <c r="A4" s="2" t="s">
        <v>4</v>
      </c>
      <c r="B4" s="3">
        <f>'[1]1.23.1'!$Q$21</f>
        <v>18.5596</v>
      </c>
    </row>
    <row r="5" spans="1:2" x14ac:dyDescent="0.3">
      <c r="A5" s="2" t="s">
        <v>5</v>
      </c>
      <c r="B5" s="3">
        <f>'[1]1.23.1'!$R$21</f>
        <v>18.788499999999999</v>
      </c>
    </row>
    <row r="6" spans="1:2" x14ac:dyDescent="0.3">
      <c r="A6" s="2" t="s">
        <v>6</v>
      </c>
      <c r="B6" s="3">
        <f>'[1]1.23.1'!$O$22</f>
        <v>19.019300000000001</v>
      </c>
    </row>
    <row r="7" spans="1:2" x14ac:dyDescent="0.3">
      <c r="A7" s="2" t="s">
        <v>7</v>
      </c>
      <c r="B7" s="3">
        <f>'[1]1.23.1'!$P$22</f>
        <v>19.2515</v>
      </c>
    </row>
    <row r="8" spans="1:2" x14ac:dyDescent="0.3">
      <c r="A8" s="2" t="s">
        <v>8</v>
      </c>
      <c r="B8" s="3">
        <f>'[1]1.23.1'!$Q$22</f>
        <v>19.488600000000002</v>
      </c>
    </row>
    <row r="9" spans="1:2" x14ac:dyDescent="0.3">
      <c r="A9" s="2" t="s">
        <v>9</v>
      </c>
      <c r="B9" s="3">
        <f>'[1]1.23.1'!$R$22</f>
        <v>19.728200000000001</v>
      </c>
    </row>
    <row r="10" spans="1:2" x14ac:dyDescent="0.3">
      <c r="A10" s="2" t="s">
        <v>10</v>
      </c>
      <c r="B10" s="3">
        <f>'[1]1.23.1'!$O$23</f>
        <v>19.9693</v>
      </c>
    </row>
    <row r="11" spans="1:2" x14ac:dyDescent="0.3">
      <c r="A11" s="2" t="s">
        <v>11</v>
      </c>
      <c r="B11" s="3">
        <f>'[1]1.23.1'!$P$23</f>
        <v>20.212299999999999</v>
      </c>
    </row>
    <row r="12" spans="1:2" x14ac:dyDescent="0.3">
      <c r="A12" s="2" t="s">
        <v>12</v>
      </c>
      <c r="B12" s="3">
        <f>'[1]1.23.1'!$Q$23</f>
        <v>20.462</v>
      </c>
    </row>
    <row r="13" spans="1:2" x14ac:dyDescent="0.3">
      <c r="A13" s="2" t="s">
        <v>13</v>
      </c>
      <c r="B13" s="3">
        <f>'[1]1.23.1'!$R$23</f>
        <v>20.728100000000001</v>
      </c>
    </row>
    <row r="14" spans="1:2" x14ac:dyDescent="0.3">
      <c r="A14" s="2" t="s">
        <v>14</v>
      </c>
      <c r="B14" s="3">
        <f>'[1]1.23.1'!$O$24</f>
        <v>20.967700000000001</v>
      </c>
    </row>
    <row r="15" spans="1:2" x14ac:dyDescent="0.3">
      <c r="A15" s="2" t="s">
        <v>15</v>
      </c>
      <c r="B15" s="3">
        <f>'[1]1.23.1'!$P$24</f>
        <v>21.222999999999999</v>
      </c>
    </row>
    <row r="16" spans="1:2" x14ac:dyDescent="0.3">
      <c r="A16" s="2" t="s">
        <v>16</v>
      </c>
      <c r="B16" s="3">
        <f>'[1]1.23.1'!$Q$24</f>
        <v>21.485099999999999</v>
      </c>
    </row>
    <row r="17" spans="1:16" x14ac:dyDescent="0.3">
      <c r="A17" s="2" t="s">
        <v>17</v>
      </c>
      <c r="B17" s="3">
        <f>'[1]1.23.1'!$R$24</f>
        <v>21.75</v>
      </c>
    </row>
    <row r="18" spans="1:16" x14ac:dyDescent="0.3">
      <c r="A18" s="2" t="s">
        <v>18</v>
      </c>
      <c r="B18" s="3">
        <f>'[1]1.23.1'!$O$25</f>
        <v>22.016100000000002</v>
      </c>
    </row>
    <row r="19" spans="1:16" x14ac:dyDescent="0.3">
      <c r="A19" s="2" t="s">
        <v>19</v>
      </c>
      <c r="B19" s="3">
        <f>'[1]1.23.1'!$P$25</f>
        <v>22.284099999999999</v>
      </c>
    </row>
    <row r="20" spans="1:16" x14ac:dyDescent="0.3">
      <c r="A20" s="2" t="s">
        <v>20</v>
      </c>
      <c r="B20" s="3">
        <f>'[1]1.23.1'!$Q$25</f>
        <v>22.5593</v>
      </c>
      <c r="P20" t="s">
        <v>75</v>
      </c>
    </row>
    <row r="21" spans="1:16" x14ac:dyDescent="0.3">
      <c r="A21" s="2" t="s">
        <v>21</v>
      </c>
      <c r="B21" s="3">
        <f>'[1]1.23.1'!$R$25</f>
        <v>22.837800000000001</v>
      </c>
    </row>
    <row r="22" spans="1:16" x14ac:dyDescent="0.3">
      <c r="A22" s="2" t="s">
        <v>22</v>
      </c>
      <c r="B22" s="3">
        <f>'[1]1.23.1'!$O$26</f>
        <v>23.118099999999998</v>
      </c>
    </row>
    <row r="23" spans="1:16" x14ac:dyDescent="0.3">
      <c r="A23" s="2" t="s">
        <v>23</v>
      </c>
      <c r="B23" s="3">
        <f>'[1]1.23.1'!$P$26</f>
        <v>23.400300000000001</v>
      </c>
    </row>
    <row r="24" spans="1:16" x14ac:dyDescent="0.3">
      <c r="A24" s="2" t="s">
        <v>24</v>
      </c>
      <c r="B24" s="3">
        <f>'[1]1.23.1'!$Q$26</f>
        <v>23.688500000000001</v>
      </c>
    </row>
    <row r="25" spans="1:16" x14ac:dyDescent="0.3">
      <c r="A25" s="2" t="s">
        <v>25</v>
      </c>
      <c r="B25" s="3">
        <f>'[1]1.23.1'!$R$26</f>
        <v>23.979700000000001</v>
      </c>
    </row>
    <row r="26" spans="1:16" x14ac:dyDescent="0.3">
      <c r="A26" s="2" t="s">
        <v>26</v>
      </c>
      <c r="B26" s="3">
        <f>'[1]1.23.1'!$O$27</f>
        <v>24.273333333333337</v>
      </c>
    </row>
    <row r="27" spans="1:16" x14ac:dyDescent="0.3">
      <c r="A27" s="2" t="s">
        <v>27</v>
      </c>
      <c r="B27" s="3">
        <f>'[1]1.23.1'!$P$27</f>
        <v>24.570000000000004</v>
      </c>
    </row>
    <row r="28" spans="1:16" x14ac:dyDescent="0.3">
      <c r="A28" s="2" t="s">
        <v>28</v>
      </c>
      <c r="B28" s="3">
        <f>'[1]1.23.1'!$Q$27</f>
        <v>24.87</v>
      </c>
    </row>
    <row r="29" spans="1:16" x14ac:dyDescent="0.3">
      <c r="A29" s="2" t="s">
        <v>29</v>
      </c>
      <c r="B29" s="3">
        <f>'[1]1.23.1'!$R$27</f>
        <v>25.179999999999996</v>
      </c>
    </row>
    <row r="30" spans="1:16" x14ac:dyDescent="0.3">
      <c r="A30" s="2" t="s">
        <v>30</v>
      </c>
      <c r="B30" s="3">
        <f>[2]Hoja1!$C$36</f>
        <v>25.486464477726575</v>
      </c>
    </row>
    <row r="31" spans="1:16" x14ac:dyDescent="0.3">
      <c r="A31" s="2" t="s">
        <v>31</v>
      </c>
      <c r="B31" s="3">
        <f>[2]Hoja1!$J$36</f>
        <v>25.796656523297489</v>
      </c>
    </row>
    <row r="32" spans="1:16" x14ac:dyDescent="0.3">
      <c r="A32" s="2" t="s">
        <v>32</v>
      </c>
      <c r="B32" s="3">
        <f>[2]Hoja1!$P$36</f>
        <v>26.115273046594979</v>
      </c>
    </row>
    <row r="33" spans="1:2" x14ac:dyDescent="0.3">
      <c r="A33" s="2" t="s">
        <v>33</v>
      </c>
      <c r="B33" s="3">
        <f>[2]Hoja1!$V$36</f>
        <v>26.437239677419356</v>
      </c>
    </row>
    <row r="34" spans="1:2" x14ac:dyDescent="0.3">
      <c r="A34" s="2" t="s">
        <v>34</v>
      </c>
      <c r="B34" s="3">
        <f>[2]Hoja1!$AB$35</f>
        <v>26.760779761904757</v>
      </c>
    </row>
    <row r="35" spans="1:2" x14ac:dyDescent="0.3">
      <c r="A35" s="2" t="s">
        <v>35</v>
      </c>
      <c r="B35" s="3">
        <f>[2]Hoja1!$AH$35</f>
        <v>27.086492831541221</v>
      </c>
    </row>
    <row r="36" spans="1:2" x14ac:dyDescent="0.3">
      <c r="A36" s="2" t="s">
        <v>36</v>
      </c>
      <c r="B36" s="3">
        <f>[2]Hoja1!$AN$35</f>
        <v>27.421037849462369</v>
      </c>
    </row>
    <row r="37" spans="1:2" x14ac:dyDescent="0.3">
      <c r="A37" s="2" t="s">
        <v>37</v>
      </c>
      <c r="B37" s="3">
        <f>[2]Hoja1!$AT$35</f>
        <v>27.759106989247311</v>
      </c>
    </row>
    <row r="38" spans="1:2" x14ac:dyDescent="0.3">
      <c r="A38" s="2" t="s">
        <v>38</v>
      </c>
      <c r="B38" s="3">
        <f>[2]Hoja1!$AZ$36</f>
        <v>28.100226362625136</v>
      </c>
    </row>
    <row r="39" spans="1:2" x14ac:dyDescent="0.3">
      <c r="A39" s="2" t="s">
        <v>39</v>
      </c>
      <c r="B39" s="3">
        <f>[2]Hoja1!$BF$36</f>
        <v>28.443192867383516</v>
      </c>
    </row>
    <row r="40" spans="1:2" x14ac:dyDescent="0.3">
      <c r="A40" s="2" t="s">
        <v>40</v>
      </c>
      <c r="B40" s="3">
        <f>[2]Hoja1!$BL$36</f>
        <v>28.793534695340508</v>
      </c>
    </row>
    <row r="41" spans="1:2" x14ac:dyDescent="0.3">
      <c r="A41" s="2" t="s">
        <v>41</v>
      </c>
      <c r="B41" s="3">
        <f>[2]Hoja1!$BR$36</f>
        <v>29.147540716845871</v>
      </c>
    </row>
    <row r="42" spans="1:2" x14ac:dyDescent="0.3">
      <c r="A42" s="2" t="s">
        <v>42</v>
      </c>
      <c r="B42" s="3">
        <f>[2]Hoja1!$BX$34</f>
        <v>29.503759139784943</v>
      </c>
    </row>
    <row r="43" spans="1:2" x14ac:dyDescent="0.3">
      <c r="A43" s="2" t="s">
        <v>43</v>
      </c>
      <c r="B43" s="3">
        <f>[2]Hoja1!$CD$34</f>
        <v>29.862852365591394</v>
      </c>
    </row>
    <row r="44" spans="1:2" x14ac:dyDescent="0.3">
      <c r="A44" s="2" t="s">
        <v>44</v>
      </c>
      <c r="B44" s="3">
        <f>[2]Hoja1!$CJ$34</f>
        <v>30.231701218637994</v>
      </c>
    </row>
    <row r="45" spans="1:2" x14ac:dyDescent="0.3">
      <c r="A45" s="2" t="s">
        <v>45</v>
      </c>
      <c r="B45" s="3">
        <f>[2]Hoja1!$CP$34</f>
        <v>30.604410071684583</v>
      </c>
    </row>
    <row r="46" spans="1:2" x14ac:dyDescent="0.3">
      <c r="A46" s="2" t="s">
        <v>46</v>
      </c>
      <c r="B46" s="3">
        <f>[2]Hoja1!$CT$34</f>
        <v>30.978949001536098</v>
      </c>
    </row>
    <row r="47" spans="1:2" x14ac:dyDescent="0.3">
      <c r="A47" s="2" t="s">
        <v>47</v>
      </c>
      <c r="B47" s="3">
        <f>[2]Hoja1!$DA$34</f>
        <v>31.355995304659501</v>
      </c>
    </row>
    <row r="48" spans="1:2" x14ac:dyDescent="0.3">
      <c r="A48" s="2" t="s">
        <v>48</v>
      </c>
      <c r="B48" s="3">
        <f>[2]Hoja1!$DH$34</f>
        <v>31.743283799283159</v>
      </c>
    </row>
    <row r="49" spans="1:2" x14ac:dyDescent="0.3">
      <c r="A49" s="2" t="s">
        <v>49</v>
      </c>
      <c r="B49" s="3">
        <f>[2]Hoja1!$DN$34</f>
        <v>32.134638387096778</v>
      </c>
    </row>
    <row r="50" spans="1:2" x14ac:dyDescent="0.3">
      <c r="A50" s="2" t="s">
        <v>50</v>
      </c>
      <c r="B50" s="3">
        <f>[2]Hoja1!$DU$34</f>
        <v>32.527896390168969</v>
      </c>
    </row>
    <row r="51" spans="1:2" x14ac:dyDescent="0.3">
      <c r="A51" s="2" t="s">
        <v>51</v>
      </c>
      <c r="B51" s="3">
        <f>[2]Hoja1!$DZ$34</f>
        <v>32.923795448028677</v>
      </c>
    </row>
    <row r="52" spans="1:2" x14ac:dyDescent="0.3">
      <c r="A52" s="2" t="s">
        <v>52</v>
      </c>
      <c r="B52" s="3">
        <f>[2]Hoja1!$EE$34</f>
        <v>33.330449139784946</v>
      </c>
    </row>
    <row r="53" spans="1:2" x14ac:dyDescent="0.3">
      <c r="A53" s="2" t="s">
        <v>53</v>
      </c>
      <c r="B53" s="3">
        <f>[2]Hoja1!$EK$34</f>
        <v>33.704833548387093</v>
      </c>
    </row>
    <row r="54" spans="1:2" x14ac:dyDescent="0.3">
      <c r="A54" s="2" t="s">
        <v>54</v>
      </c>
      <c r="B54" s="3">
        <f>[2]Hoja1!$ER$34</f>
        <v>33.964080867630699</v>
      </c>
    </row>
    <row r="55" spans="1:2" x14ac:dyDescent="0.3">
      <c r="A55" s="2" t="s">
        <v>55</v>
      </c>
      <c r="B55" s="3">
        <f>[2]Hoja1!$EX$34</f>
        <v>34.214616129032258</v>
      </c>
    </row>
    <row r="56" spans="1:2" x14ac:dyDescent="0.3">
      <c r="A56" s="2" t="s">
        <v>56</v>
      </c>
      <c r="B56" s="3">
        <f>[2]Hoja1!$FC$34</f>
        <v>34.469320645161297</v>
      </c>
    </row>
    <row r="57" spans="1:2" x14ac:dyDescent="0.3">
      <c r="A57" s="2" t="s">
        <v>57</v>
      </c>
      <c r="B57" s="3">
        <f>[2]Hoja1!$FI$34</f>
        <v>34.720506093189961</v>
      </c>
    </row>
    <row r="58" spans="1:2" x14ac:dyDescent="0.3">
      <c r="A58" s="2" t="s">
        <v>58</v>
      </c>
      <c r="B58" s="3">
        <f>[2]Hoja1!$FP$34</f>
        <v>34.910565668202764</v>
      </c>
    </row>
    <row r="59" spans="1:2" x14ac:dyDescent="0.3">
      <c r="A59" s="2" t="s">
        <v>59</v>
      </c>
      <c r="B59" s="3">
        <f>[2]Hoja1!$FU$34</f>
        <v>35.082394838709675</v>
      </c>
    </row>
    <row r="60" spans="1:2" x14ac:dyDescent="0.3">
      <c r="A60" s="2" t="s">
        <v>60</v>
      </c>
      <c r="B60" s="3">
        <f>[2]Hoja1!$FZ$34</f>
        <v>35.257627992831544</v>
      </c>
    </row>
    <row r="61" spans="1:2" x14ac:dyDescent="0.3">
      <c r="A61" s="2" t="s">
        <v>61</v>
      </c>
      <c r="B61" s="3">
        <f>[2]Hoja1!$GF$34</f>
        <v>35.433410501792117</v>
      </c>
    </row>
    <row r="62" spans="1:2" x14ac:dyDescent="0.3">
      <c r="A62" s="2" t="s">
        <v>62</v>
      </c>
      <c r="B62" s="3">
        <f>[2]Hoja1!$GM$34</f>
        <v>35.608777841781865</v>
      </c>
    </row>
    <row r="63" spans="1:2" x14ac:dyDescent="0.3">
      <c r="A63" s="2" t="s">
        <v>63</v>
      </c>
      <c r="B63" s="3">
        <f>[2]Hoja1!$GT$34</f>
        <v>35.784047634408601</v>
      </c>
    </row>
    <row r="64" spans="1:2" x14ac:dyDescent="0.3">
      <c r="A64" s="2" t="s">
        <v>64</v>
      </c>
      <c r="B64" s="3">
        <f>[2]Hoja1!$GY$34</f>
        <v>35.962783189964163</v>
      </c>
    </row>
    <row r="65" spans="1:2" x14ac:dyDescent="0.3">
      <c r="A65" s="2" t="s">
        <v>65</v>
      </c>
      <c r="B65" s="3">
        <f>[2]Hoja1!$HF$34</f>
        <v>36.142077921146949</v>
      </c>
    </row>
    <row r="66" spans="1:2" x14ac:dyDescent="0.3">
      <c r="A66" s="2" t="s">
        <v>66</v>
      </c>
      <c r="B66" s="3">
        <f>[3]Hoja1!$I$34</f>
        <v>36.301820545314904</v>
      </c>
    </row>
    <row r="67" spans="1:2" x14ac:dyDescent="0.3">
      <c r="A67" s="2" t="s">
        <v>67</v>
      </c>
      <c r="B67" s="3">
        <f>[3]Hoja1!$O$34</f>
        <v>36.396400071684589</v>
      </c>
    </row>
    <row r="68" spans="1:2" x14ac:dyDescent="0.3">
      <c r="A68" s="2" t="s">
        <v>68</v>
      </c>
      <c r="B68" s="3">
        <f>[3]Hoja1!$U$34</f>
        <v>36.487630537634409</v>
      </c>
    </row>
    <row r="69" spans="1:2" x14ac:dyDescent="0.3">
      <c r="A69" s="2" t="s">
        <v>69</v>
      </c>
      <c r="B69" s="3">
        <f>[3]Hoja1!$Z$34</f>
        <v>36.578923799283153</v>
      </c>
    </row>
    <row r="70" spans="1:2" x14ac:dyDescent="0.3">
      <c r="A70" s="2" t="s">
        <v>70</v>
      </c>
      <c r="B70" s="4">
        <f>B71</f>
        <v>36.62429999999997</v>
      </c>
    </row>
    <row r="71" spans="1:2" x14ac:dyDescent="0.3">
      <c r="A71" s="2" t="s">
        <v>71</v>
      </c>
      <c r="B71" s="4">
        <f>B72</f>
        <v>36.62429999999997</v>
      </c>
    </row>
    <row r="72" spans="1:2" x14ac:dyDescent="0.3">
      <c r="A72" s="2" t="s">
        <v>72</v>
      </c>
      <c r="B72" s="4">
        <f>B73</f>
        <v>36.62429999999997</v>
      </c>
    </row>
    <row r="73" spans="1:2" x14ac:dyDescent="0.3">
      <c r="A73" s="2" t="s">
        <v>73</v>
      </c>
      <c r="B73" s="4">
        <f>B74</f>
        <v>36.62429999999997</v>
      </c>
    </row>
    <row r="74" spans="1:2" x14ac:dyDescent="0.3">
      <c r="A74" s="2" t="s">
        <v>74</v>
      </c>
      <c r="B74" s="4">
        <f>[3]Hoja1!$AM$35</f>
        <v>36.62429999999997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AlfaroVillalobos</dc:creator>
  <cp:lastModifiedBy>AlfaroVillalobos</cp:lastModifiedBy>
  <dcterms:created xsi:type="dcterms:W3CDTF">2025-11-27T22:40:25Z</dcterms:created>
  <dcterms:modified xsi:type="dcterms:W3CDTF">2025-11-28T01:11:49Z</dcterms:modified>
</cp:coreProperties>
</file>